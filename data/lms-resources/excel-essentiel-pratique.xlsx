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9f099e42e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ées" sheetId="1" r:id="R948d02a3a8bb4406"/>
    <x:sheet xmlns:r="http://schemas.openxmlformats.org/officeDocument/2006/relationships" name="Tableau de bord" sheetId="2" r:id="R4dbc26b09c3141b1"/>
    <x:sheet xmlns:r="http://schemas.openxmlformats.org/officeDocument/2006/relationships" name="Exercices" sheetId="3" r:id="R7699dfbedebf432f"/>
    <x:sheet xmlns:r="http://schemas.openxmlformats.org/officeDocument/2006/relationships" name="Références" sheetId="4" r:id="Rf08b0aed4838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&quot;$&quot;#,##0"/>
    <x:numFmt numFmtId="202" formatCode="yyyy-mm-dd"/>
    <x:numFmt numFmtId="203" formatCode="&quot;$&quot;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DDF4EF"/>
      </x:patternFill>
    </x:fill>
    <x:fill>
      <x:patternFill patternType="solid">
        <x:fgColor rgb="FFEAF2F8"/>
      </x:patternFill>
    </x:fill>
  </x:fills>
  <x:borders count="18">
    <x:border/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12304A"/>
      </x:left>
      <x:top style="thin">
        <x:color rgb="FF12304A"/>
      </x:top>
      <x:bottom style="thin">
        <x:color rgb="FFCBD5E1"/>
      </x:bottom>
    </x:border>
    <x:border>
      <x:top style="thin">
        <x:color rgb="FF12304A"/>
      </x:top>
      <x:bottom style="thin">
        <x:color rgb="FFCBD5E1"/>
      </x:bottom>
    </x:border>
    <x:border>
      <x:left style="thin">
        <x:color rgb="FF12304A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12304A"/>
      </x:left>
      <x:top style="thin">
        <x:color rgb="FFCBD5E1"/>
      </x:top>
      <x:bottom style="thin">
        <x:color rgb="FF12304A"/>
      </x:bottom>
    </x:border>
    <x:border>
      <x:top style="thin">
        <x:color rgb="FFCBD5E1"/>
      </x:top>
      <x:bottom style="thin">
        <x:color rgb="FF12304A"/>
      </x:bottom>
    </x:border>
    <x:border>
      <x:bottom style="thin">
        <x:color rgb="FFCBD5E1"/>
      </x:bottom>
    </x:border>
    <x:border>
      <x:top style="thin">
        <x:color rgb="FFCBD5E1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202" fontId="0" fillId="0" borderId="7" xfId="0" applyNumberFormat="1" applyFont="1" applyFill="1" applyBorder="1"/>
    <x:xf numFmtId="203" fontId="0" fillId="0" borderId="7" xfId="0" applyNumberFormat="1" applyFont="1" applyFill="1" applyBorder="1"/>
    <x:xf numFmtId="0" fontId="0" fillId="0" borderId="11" xfId="0" applyNumberFormat="1" applyFont="1" applyFill="1" applyBorder="1"/>
    <x:xf numFmtId="202" fontId="0" fillId="0" borderId="11" xfId="0" applyNumberFormat="1" applyFont="1" applyFill="1" applyBorder="1"/>
    <x:xf numFmtId="203" fontId="0" fillId="0" borderId="1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203" fontId="0" fillId="4" borderId="13" xfId="0" applyNumberFormat="1" applyFont="1" applyFill="1" applyBorder="1"/>
    <x:xf numFmtId="203" fontId="0" fillId="4" borderId="15" xfId="0" applyNumberFormat="1" applyFont="1" applyFill="1" applyBorder="1"/>
    <x:xf numFmtId="0" fontId="0" fillId="5" borderId="0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a6435cc334b24" /><Relationship Type="http://schemas.openxmlformats.org/officeDocument/2006/relationships/theme" Target="/xl/theme/theme1.xml" Id="Rf9d6658f7b774d13" /><Relationship Type="http://schemas.openxmlformats.org/officeDocument/2006/relationships/sharedStrings" Target="/xl/sharedStrings.xml" Id="R7922e75fbd3b48ff" /><Relationship Type="http://schemas.openxmlformats.org/officeDocument/2006/relationships/worksheet" Target="/xl/worksheets/sheet1.xml" Id="R948d02a3a8bb4406" /><Relationship Type="http://schemas.openxmlformats.org/officeDocument/2006/relationships/worksheet" Target="/xl/worksheets/sheet2.xml" Id="R4dbc26b09c3141b1" /><Relationship Type="http://schemas.openxmlformats.org/officeDocument/2006/relationships/worksheet" Target="/xl/worksheets/sheet3.xml" Id="R7699dfbedebf432f" /><Relationship Type="http://schemas.openxmlformats.org/officeDocument/2006/relationships/worksheet" Target="/xl/worksheets/sheet4.xml" Id="Rf08b0aed48384cb1" /></Relationships>
</file>

<file path=xl/tables/table1.xml><?xml version="1.0" encoding="utf-8"?>
<x:table xmlns:x="http://schemas.openxmlformats.org/spreadsheetml/2006/main" id="1" name="FacturesTable" displayName="FacturesTable" ref="A1:J17" headerRowCount="1" totalsRowCount="0" totalsRowShown="0">
  <x:tableColumns count="10">
    <x:tableColumn id="1" name="No facture"/>
    <x:tableColumn id="2" name="Date"/>
    <x:tableColumn id="3" name="Client"/>
    <x:tableColumn id="4" name="Catégorie"/>
    <x:tableColumn id="5" name="Montant avant taxes"/>
    <x:tableColumn id="6" name="Statut"/>
    <x:tableColumn id="7" name="Responsable"/>
    <x:tableColumn id="8" name="TPS"/>
    <x:tableColumn id="9" name="Total"/>
    <x:tableColumn id="10" name="Priorit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a16b3f641544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19" t="str">
        <x:v>No facture</x:v>
      </x:c>
      <x:c r="B1" s="19" t="str">
        <x:v>Date</x:v>
      </x:c>
      <x:c r="C1" s="19" t="str">
        <x:v>Client</x:v>
      </x:c>
      <x:c r="D1" s="19" t="str">
        <x:v>Catégorie</x:v>
      </x:c>
      <x:c r="E1" s="19" t="str">
        <x:v>Montant avant taxes</x:v>
      </x:c>
      <x:c r="F1" s="19" t="str">
        <x:v>Statut</x:v>
      </x:c>
      <x:c r="G1" s="19" t="str">
        <x:v>Responsable</x:v>
      </x:c>
      <x:c r="H1" s="19" t="str">
        <x:v>TPS</x:v>
      </x:c>
      <x:c r="I1" s="19" t="str">
        <x:v>Total</x:v>
      </x:c>
      <x:c r="J1" s="19" t="str">
        <x:v>Priorité</x:v>
      </x:c>
    </x:row>
    <x:row r="2">
      <x:c r="A2" s="11" t="str">
        <x:v>F-2026-001</x:v>
      </x:c>
      <x:c r="B2" s="20" t="n">
        <x:v>46030</x:v>
      </x:c>
      <x:c r="C2" s="11" t="str">
        <x:v>Atelier du Nord</x:v>
      </x:c>
      <x:c r="D2" s="11" t="str">
        <x:v>Formation</x:v>
      </x:c>
      <x:c r="E2" s="21" t="n">
        <x:v>850</x:v>
      </x:c>
      <x:c r="F2" s="21" t="str">
        <x:v>Payée</x:v>
      </x:c>
      <x:c r="G2" s="21" t="str">
        <x:v>Alex</x:v>
      </x:c>
      <x:c r="H2" s="21" t="n">
        <x:f>E2*'Références'!$E$2</x:f>
        <x:v>42.5</x:v>
      </x:c>
      <x:c r="I2" s="21" t="n">
        <x:f>E2+H2</x:f>
        <x:v>892.5</x:v>
      </x:c>
      <x:c r="J2" s="11" t="str">
        <x:f>IF(AND(F2&lt;&gt;"Payée",I2&gt;='Références'!$E$3),"À suivre","Normale")</x:f>
        <x:v>Normale</x:v>
      </x:c>
    </x:row>
    <x:row r="3">
      <x:c r="A3" s="11" t="str">
        <x:v>F-2026-002</x:v>
      </x:c>
      <x:c r="B3" s="20" t="n">
        <x:v>46034</x:v>
      </x:c>
      <x:c r="C3" s="11" t="str">
        <x:v>Clinique Horizon</x:v>
      </x:c>
      <x:c r="D3" s="11" t="str">
        <x:v>Services</x:v>
      </x:c>
      <x:c r="E3" s="21" t="n">
        <x:v>1420</x:v>
      </x:c>
      <x:c r="F3" s="21" t="str">
        <x:v>Envoyée</x:v>
      </x:c>
      <x:c r="G3" s="21" t="str">
        <x:v>Sam</x:v>
      </x:c>
      <x:c r="H3" s="21" t="n">
        <x:f>E3*'Références'!$E$2</x:f>
        <x:v>71</x:v>
      </x:c>
      <x:c r="I3" s="21" t="n">
        <x:f>E3+H3</x:f>
        <x:v>1491</x:v>
      </x:c>
      <x:c r="J3" s="11" t="str">
        <x:f>IF(AND(F3&lt;&gt;"Payée",I3&gt;='Références'!$E$3),"À suivre","Normale")</x:f>
        <x:v>À suivre</x:v>
      </x:c>
    </x:row>
    <x:row r="4">
      <x:c r="A4" s="11" t="str">
        <x:v>F-2026-003</x:v>
      </x:c>
      <x:c r="B4" s="20" t="n">
        <x:v>46041</x:v>
      </x:c>
      <x:c r="C4" s="11" t="str">
        <x:v>OBNL Passerelle</x:v>
      </x:c>
      <x:c r="D4" s="11" t="str">
        <x:v>Soutien</x:v>
      </x:c>
      <x:c r="E4" s="21" t="n">
        <x:v>320</x:v>
      </x:c>
      <x:c r="F4" s="21" t="str">
        <x:v>Payée</x:v>
      </x:c>
      <x:c r="G4" s="21" t="str">
        <x:v>Morgan</x:v>
      </x:c>
      <x:c r="H4" s="21" t="n">
        <x:f>E4*'Références'!$E$2</x:f>
        <x:v>16</x:v>
      </x:c>
      <x:c r="I4" s="21" t="n">
        <x:f>E4+H4</x:f>
        <x:v>336</x:v>
      </x:c>
      <x:c r="J4" s="11" t="str">
        <x:f>IF(AND(F4&lt;&gt;"Payée",I4&gt;='Références'!$E$3),"À suivre","Normale")</x:f>
        <x:v>Normale</x:v>
      </x:c>
    </x:row>
    <x:row r="5">
      <x:c r="A5" s="11" t="str">
        <x:v>F-2026-004</x:v>
      </x:c>
      <x:c r="B5" s="20" t="n">
        <x:v>46055</x:v>
      </x:c>
      <x:c r="C5" s="11" t="str">
        <x:v>Marché des Pins</x:v>
      </x:c>
      <x:c r="D5" s="11" t="str">
        <x:v>Boutique</x:v>
      </x:c>
      <x:c r="E5" s="21" t="n">
        <x:v>59</x:v>
      </x:c>
      <x:c r="F5" s="21" t="str">
        <x:v>Payée</x:v>
      </x:c>
      <x:c r="G5" s="21" t="str">
        <x:v>Alex</x:v>
      </x:c>
      <x:c r="H5" s="21" t="n">
        <x:f>E5*'Références'!$E$2</x:f>
        <x:v>2.95</x:v>
      </x:c>
      <x:c r="I5" s="21" t="n">
        <x:f>E5+H5</x:f>
        <x:v>61.95</x:v>
      </x:c>
      <x:c r="J5" s="11" t="str">
        <x:f>IF(AND(F5&lt;&gt;"Payée",I5&gt;='Références'!$E$3),"À suivre","Normale")</x:f>
        <x:v>Normale</x:v>
      </x:c>
    </x:row>
    <x:row r="6">
      <x:c r="A6" s="11" t="str">
        <x:v>F-2026-005</x:v>
      </x:c>
      <x:c r="B6" s="20" t="n">
        <x:v>46064</x:v>
      </x:c>
      <x:c r="C6" s="11" t="str">
        <x:v>Bureau Atlas</x:v>
      </x:c>
      <x:c r="D6" s="11" t="str">
        <x:v>Web</x:v>
      </x:c>
      <x:c r="E6" s="21" t="n">
        <x:v>2350</x:v>
      </x:c>
      <x:c r="F6" s="21" t="str">
        <x:v>Envoyée</x:v>
      </x:c>
      <x:c r="G6" s="21" t="str">
        <x:v>Sam</x:v>
      </x:c>
      <x:c r="H6" s="21" t="n">
        <x:f>E6*'Références'!$E$2</x:f>
        <x:v>117.5</x:v>
      </x:c>
      <x:c r="I6" s="21" t="n">
        <x:f>E6+H6</x:f>
        <x:v>2467.5</x:v>
      </x:c>
      <x:c r="J6" s="11" t="str">
        <x:f>IF(AND(F6&lt;&gt;"Payée",I6&gt;='Références'!$E$3),"À suivre","Normale")</x:f>
        <x:v>À suivre</x:v>
      </x:c>
    </x:row>
    <x:row r="7">
      <x:c r="A7" s="11" t="str">
        <x:v>F-2026-006</x:v>
      </x:c>
      <x:c r="B7" s="20" t="n">
        <x:v>46071</x:v>
      </x:c>
      <x:c r="C7" s="11" t="str">
        <x:v>Coop du Fleuve</x:v>
      </x:c>
      <x:c r="D7" s="11" t="str">
        <x:v>Automatisation</x:v>
      </x:c>
      <x:c r="E7" s="21" t="n">
        <x:v>1850</x:v>
      </x:c>
      <x:c r="F7" s="21" t="str">
        <x:v>À facturer</x:v>
      </x:c>
      <x:c r="G7" s="21" t="str">
        <x:v>Morgan</x:v>
      </x:c>
      <x:c r="H7" s="21" t="n">
        <x:f>E7*'Références'!$E$2</x:f>
        <x:v>92.5</x:v>
      </x:c>
      <x:c r="I7" s="21" t="n">
        <x:f>E7+H7</x:f>
        <x:v>1942.5</x:v>
      </x:c>
      <x:c r="J7" s="11" t="str">
        <x:f>IF(AND(F7&lt;&gt;"Payée",I7&gt;='Références'!$E$3),"À suivre","Normale")</x:f>
        <x:v>À suivre</x:v>
      </x:c>
    </x:row>
    <x:row r="8">
      <x:c r="A8" s="11" t="str">
        <x:v>F-2026-007</x:v>
      </x:c>
      <x:c r="B8" s="20" t="n">
        <x:v>46084</x:v>
      </x:c>
      <x:c r="C8" s="11" t="str">
        <x:v>Librairie Centrale</x:v>
      </x:c>
      <x:c r="D8" s="11" t="str">
        <x:v>Formation</x:v>
      </x:c>
      <x:c r="E8" s="21" t="n">
        <x:v>490</x:v>
      </x:c>
      <x:c r="F8" s="21" t="str">
        <x:v>Payée</x:v>
      </x:c>
      <x:c r="G8" s="21" t="str">
        <x:v>Alex</x:v>
      </x:c>
      <x:c r="H8" s="21" t="n">
        <x:f>E8*'Références'!$E$2</x:f>
        <x:v>24.5</x:v>
      </x:c>
      <x:c r="I8" s="21" t="n">
        <x:f>E8+H8</x:f>
        <x:v>514.5</x:v>
      </x:c>
      <x:c r="J8" s="11" t="str">
        <x:f>IF(AND(F8&lt;&gt;"Payée",I8&gt;='Références'!$E$3),"À suivre","Normale")</x:f>
        <x:v>Normale</x:v>
      </x:c>
    </x:row>
    <x:row r="9">
      <x:c r="A9" s="11" t="str">
        <x:v>F-2026-008</x:v>
      </x:c>
      <x:c r="B9" s="20" t="n">
        <x:v>46091</x:v>
      </x:c>
      <x:c r="C9" s="11" t="str">
        <x:v>Groupe Ambition</x:v>
      </x:c>
      <x:c r="D9" s="11" t="str">
        <x:v>Services</x:v>
      </x:c>
      <x:c r="E9" s="21" t="n">
        <x:v>975</x:v>
      </x:c>
      <x:c r="F9" s="21" t="str">
        <x:v>Envoyée</x:v>
      </x:c>
      <x:c r="G9" s="21" t="str">
        <x:v>Sam</x:v>
      </x:c>
      <x:c r="H9" s="21" t="n">
        <x:f>E9*'Références'!$E$2</x:f>
        <x:v>48.75</x:v>
      </x:c>
      <x:c r="I9" s="21" t="n">
        <x:f>E9+H9</x:f>
        <x:v>1023.75</x:v>
      </x:c>
      <x:c r="J9" s="11" t="str">
        <x:f>IF(AND(F9&lt;&gt;"Payée",I9&gt;='Références'!$E$3),"À suivre","Normale")</x:f>
        <x:v>À suivre</x:v>
      </x:c>
    </x:row>
    <x:row r="10">
      <x:c r="A10" s="11" t="str">
        <x:v>F-2026-009</x:v>
      </x:c>
      <x:c r="B10" s="20" t="n">
        <x:v>46098</x:v>
      </x:c>
      <x:c r="C10" s="11" t="str">
        <x:v>Maison des jeunes</x:v>
      </x:c>
      <x:c r="D10" s="11" t="str">
        <x:v>Soutien</x:v>
      </x:c>
      <x:c r="E10" s="21" t="n">
        <x:v>275</x:v>
      </x:c>
      <x:c r="F10" s="21" t="str">
        <x:v>Payée</x:v>
      </x:c>
      <x:c r="G10" s="21" t="str">
        <x:v>Morgan</x:v>
      </x:c>
      <x:c r="H10" s="21" t="n">
        <x:f>E10*'Références'!$E$2</x:f>
        <x:v>13.75</x:v>
      </x:c>
      <x:c r="I10" s="21" t="n">
        <x:f>E10+H10</x:f>
        <x:v>288.75</x:v>
      </x:c>
      <x:c r="J10" s="11" t="str">
        <x:f>IF(AND(F10&lt;&gt;"Payée",I10&gt;='Références'!$E$3),"À suivre","Normale")</x:f>
        <x:v>Normale</x:v>
      </x:c>
    </x:row>
    <x:row r="11">
      <x:c r="A11" s="11" t="str">
        <x:v>F-2026-010</x:v>
      </x:c>
      <x:c r="B11" s="20" t="n">
        <x:v>46113</x:v>
      </x:c>
      <x:c r="C11" s="11" t="str">
        <x:v>Ferme Saint-Paul</x:v>
      </x:c>
      <x:c r="D11" s="11" t="str">
        <x:v>Web</x:v>
      </x:c>
      <x:c r="E11" s="21" t="n">
        <x:v>2100</x:v>
      </x:c>
      <x:c r="F11" s="21" t="str">
        <x:v>À facturer</x:v>
      </x:c>
      <x:c r="G11" s="21" t="str">
        <x:v>Alex</x:v>
      </x:c>
      <x:c r="H11" s="21" t="n">
        <x:f>E11*'Références'!$E$2</x:f>
        <x:v>105</x:v>
      </x:c>
      <x:c r="I11" s="21" t="n">
        <x:f>E11+H11</x:f>
        <x:v>2205</x:v>
      </x:c>
      <x:c r="J11" s="11" t="str">
        <x:f>IF(AND(F11&lt;&gt;"Payée",I11&gt;='Références'!$E$3),"À suivre","Normale")</x:f>
        <x:v>À suivre</x:v>
      </x:c>
    </x:row>
    <x:row r="12">
      <x:c r="A12" s="11" t="str">
        <x:v>F-2026-011</x:v>
      </x:c>
      <x:c r="B12" s="20" t="n">
        <x:v>46126</x:v>
      </x:c>
      <x:c r="C12" s="11" t="str">
        <x:v>Studio Rivière</x:v>
      </x:c>
      <x:c r="D12" s="11" t="str">
        <x:v>Automatisation</x:v>
      </x:c>
      <x:c r="E12" s="21" t="n">
        <x:v>1280</x:v>
      </x:c>
      <x:c r="F12" s="21" t="str">
        <x:v>Envoyée</x:v>
      </x:c>
      <x:c r="G12" s="21" t="str">
        <x:v>Sam</x:v>
      </x:c>
      <x:c r="H12" s="21" t="n">
        <x:f>E12*'Références'!$E$2</x:f>
        <x:v>64</x:v>
      </x:c>
      <x:c r="I12" s="21" t="n">
        <x:f>E12+H12</x:f>
        <x:v>1344</x:v>
      </x:c>
      <x:c r="J12" s="11" t="str">
        <x:f>IF(AND(F12&lt;&gt;"Payée",I12&gt;='Références'!$E$3),"À suivre","Normale")</x:f>
        <x:v>À suivre</x:v>
      </x:c>
    </x:row>
    <x:row r="13">
      <x:c r="A13" s="11" t="str">
        <x:v>F-2026-012</x:v>
      </x:c>
      <x:c r="B13" s="20" t="n">
        <x:v>46134</x:v>
      </x:c>
      <x:c r="C13" s="11" t="str">
        <x:v>Café du Parc</x:v>
      </x:c>
      <x:c r="D13" s="11" t="str">
        <x:v>Boutique</x:v>
      </x:c>
      <x:c r="E13" s="21" t="n">
        <x:v>29</x:v>
      </x:c>
      <x:c r="F13" s="21" t="str">
        <x:v>Payée</x:v>
      </x:c>
      <x:c r="G13" s="21" t="str">
        <x:v>Morgan</x:v>
      </x:c>
      <x:c r="H13" s="21" t="n">
        <x:f>E13*'Références'!$E$2</x:f>
        <x:v>1.4500000000000002</x:v>
      </x:c>
      <x:c r="I13" s="21" t="n">
        <x:f>E13+H13</x:f>
        <x:v>30.45</x:v>
      </x:c>
      <x:c r="J13" s="11" t="str">
        <x:f>IF(AND(F13&lt;&gt;"Payée",I13&gt;='Références'!$E$3),"À suivre","Normale")</x:f>
        <x:v>Normale</x:v>
      </x:c>
    </x:row>
    <x:row r="14">
      <x:c r="A14" s="11" t="str">
        <x:v>F-2026-013</x:v>
      </x:c>
      <x:c r="B14" s="20" t="n">
        <x:v>46146</x:v>
      </x:c>
      <x:c r="C14" s="11" t="str">
        <x:v>Transport Boréal</x:v>
      </x:c>
      <x:c r="D14" s="11" t="str">
        <x:v>Formation</x:v>
      </x:c>
      <x:c r="E14" s="21" t="n">
        <x:v>1225</x:v>
      </x:c>
      <x:c r="F14" s="21" t="str">
        <x:v>Envoyée</x:v>
      </x:c>
      <x:c r="G14" s="21" t="str">
        <x:v>Alex</x:v>
      </x:c>
      <x:c r="H14" s="21" t="n">
        <x:f>E14*'Références'!$E$2</x:f>
        <x:v>61.25</x:v>
      </x:c>
      <x:c r="I14" s="21" t="n">
        <x:f>E14+H14</x:f>
        <x:v>1286.25</x:v>
      </x:c>
      <x:c r="J14" s="11" t="str">
        <x:f>IF(AND(F14&lt;&gt;"Payée",I14&gt;='Références'!$E$3),"À suivre","Normale")</x:f>
        <x:v>À suivre</x:v>
      </x:c>
    </x:row>
    <x:row r="15">
      <x:c r="A15" s="11" t="str">
        <x:v>F-2026-014</x:v>
      </x:c>
      <x:c r="B15" s="20" t="n">
        <x:v>46158</x:v>
      </x:c>
      <x:c r="C15" s="11" t="str">
        <x:v>Association Mieux-être</x:v>
      </x:c>
      <x:c r="D15" s="11" t="str">
        <x:v>Soutien</x:v>
      </x:c>
      <x:c r="E15" s="21" t="n">
        <x:v>440</x:v>
      </x:c>
      <x:c r="F15" s="21" t="str">
        <x:v>Payée</x:v>
      </x:c>
      <x:c r="G15" s="21" t="str">
        <x:v>Sam</x:v>
      </x:c>
      <x:c r="H15" s="21" t="n">
        <x:f>E15*'Références'!$E$2</x:f>
        <x:v>22</x:v>
      </x:c>
      <x:c r="I15" s="21" t="n">
        <x:f>E15+H15</x:f>
        <x:v>462</x:v>
      </x:c>
      <x:c r="J15" s="11" t="str">
        <x:f>IF(AND(F15&lt;&gt;"Payée",I15&gt;='Références'!$E$3),"À suivre","Normale")</x:f>
        <x:v>Normale</x:v>
      </x:c>
    </x:row>
    <x:row r="16">
      <x:c r="A16" s="11" t="str">
        <x:v>F-2026-015</x:v>
      </x:c>
      <x:c r="B16" s="20" t="n">
        <x:v>46175</x:v>
      </x:c>
      <x:c r="C16" s="11" t="str">
        <x:v>Épicerie Bellevue</x:v>
      </x:c>
      <x:c r="D16" s="11" t="str">
        <x:v>Services</x:v>
      </x:c>
      <x:c r="E16" s="21" t="n">
        <x:v>760</x:v>
      </x:c>
      <x:c r="F16" s="21" t="str">
        <x:v>À facturer</x:v>
      </x:c>
      <x:c r="G16" s="21" t="str">
        <x:v>Morgan</x:v>
      </x:c>
      <x:c r="H16" s="21" t="n">
        <x:f>E16*'Références'!$E$2</x:f>
        <x:v>38</x:v>
      </x:c>
      <x:c r="I16" s="21" t="n">
        <x:f>E16+H16</x:f>
        <x:v>798</x:v>
      </x:c>
      <x:c r="J16" s="11" t="str">
        <x:f>IF(AND(F16&lt;&gt;"Payée",I16&gt;='Références'!$E$3),"À suivre","Normale")</x:f>
        <x:v>Normale</x:v>
      </x:c>
    </x:row>
    <x:row r="17">
      <x:c r="A17" s="22" t="str">
        <x:v>F-2026-016</x:v>
      </x:c>
      <x:c r="B17" s="23" t="n">
        <x:v>46191</x:v>
      </x:c>
      <x:c r="C17" s="22" t="str">
        <x:v>Manufacture Laurent</x:v>
      </x:c>
      <x:c r="D17" s="22" t="str">
        <x:v>Automatisation</x:v>
      </x:c>
      <x:c r="E17" s="24" t="n">
        <x:v>3100</x:v>
      </x:c>
      <x:c r="F17" s="24" t="str">
        <x:v>Envoyée</x:v>
      </x:c>
      <x:c r="G17" s="24" t="str">
        <x:v>Alex</x:v>
      </x:c>
      <x:c r="H17" s="24" t="n">
        <x:f>E17*'Références'!$E$2</x:f>
        <x:v>155</x:v>
      </x:c>
      <x:c r="I17" s="24" t="n">
        <x:f>E17+H17</x:f>
        <x:v>3255</x:v>
      </x:c>
      <x:c r="J17" s="22" t="str">
        <x:f>IF(AND(F17&lt;&gt;"Payée",I17&gt;='Références'!$E$3),"À suivre","Normale")</x:f>
        <x:v>À suivre</x:v>
      </x:c>
    </x:row>
  </x:sheetData>
  <x:conditionalFormatting sqref="J2:J100">
    <x:cfRule type="containsText" dxfId="0" priority="1" operator="containsText" text="À suivre"/>
  </x:conditionalFormatting>
  <x:dataValidations count="3">
    <x:dataValidation type="list" sqref="D2:D100">
      <x:formula1>'Références'!$A$2:$A$8</x:formula1>
    </x:dataValidation>
    <x:dataValidation type="list" sqref="F2:F100">
      <x:formula1>'Références'!$B$2:$B$4</x:formula1>
    </x:dataValidation>
    <x:dataValidation type="list" sqref="G2:G100">
      <x:formula1>'Références'!$C$2:$C$4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a16b3f641544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4" hidden="0" customWidth="1"/>
    <x:col min="4" max="4" width="20" hidden="0" customWidth="1"/>
    <x:col min="5" max="5" width="14" hidden="0" customWidth="1"/>
  </x:cols>
  <x:sheetData>
    <x:row r="1">
      <x:c r="A1" s="26" t="str">
        <x:v>Tableau de bord — suivi des factures</x:v>
      </x:c>
      <x:c r="B1" s="26"/>
      <x:c r="C1" s="26"/>
      <x:c r="D1" s="26"/>
      <x:c r="E1" s="26"/>
      <x:c r="F1" s="26"/>
      <x:c r="G1" s="26"/>
      <x:c r="H1" s="26"/>
    </x:row>
    <x:row r="2">
      <x:c r="A2" s="26"/>
      <x:c r="B2" s="26"/>
      <x:c r="C2" s="26"/>
      <x:c r="D2" s="26"/>
      <x:c r="E2" s="26"/>
      <x:c r="F2" s="26"/>
      <x:c r="G2" s="26"/>
      <x:c r="H2" s="26"/>
    </x:row>
    <x:row r="4">
      <x:c r="A4" s="28" t="str">
        <x:v>Indicateur</x:v>
      </x:c>
      <x:c r="B4" s="28" t="str">
        <x:v>Valeur</x:v>
      </x:c>
      <x:c r="D4" s="28" t="str">
        <x:v>Statut</x:v>
      </x:c>
      <x:c r="E4" s="28" t="str">
        <x:v>Nombre</x:v>
      </x:c>
    </x:row>
    <x:row r="5">
      <x:c r="A5" s="30" t="str">
        <x:v>Total facturé</x:v>
      </x:c>
      <x:c r="B5" s="36" t="n">
        <x:f>SUM('Données'!I2:I17)</x:f>
        <x:v>18399.15</x:v>
      </x:c>
      <x:c r="D5" s="39" t="str">
        <x:v>À facturer</x:v>
      </x:c>
      <x:c r="E5" s="40" t="n">
        <x:f>COUNTIF('Données'!F2:F17,D5)</x:f>
        <x:v>3</x:v>
      </x:c>
    </x:row>
    <x:row r="6">
      <x:c r="A6" s="32" t="str">
        <x:v>Total payé</x:v>
      </x:c>
      <x:c r="B6" s="37" t="n">
        <x:f>SUMIF('Données'!F2:F17,"Payée",'Données'!I2:I17)</x:f>
        <x:v>2586.1499999999996</x:v>
      </x:c>
      <x:c r="D6" s="41" t="str">
        <x:v>Envoyée</x:v>
      </x:c>
      <x:c r="E6" s="42" t="n">
        <x:f>COUNTIF('Données'!F3:F18,D6)</x:f>
        <x:v>6</x:v>
      </x:c>
    </x:row>
    <x:row r="7">
      <x:c r="A7" s="32" t="str">
        <x:v>À encaisser</x:v>
      </x:c>
      <x:c r="B7" s="37" t="n">
        <x:f>B5-B6</x:f>
        <x:v>15813.000000000002</x:v>
      </x:c>
      <x:c r="D7" s="43" t="str">
        <x:v>Payée</x:v>
      </x:c>
      <x:c r="E7" s="44" t="n">
        <x:f>COUNTIF('Données'!F4:F19,D7)</x:f>
        <x:v>6</x:v>
      </x:c>
    </x:row>
    <x:row r="8">
      <x:c r="A8" s="34" t="str">
        <x:v>Nombre de factures</x:v>
      </x:c>
      <x:c r="B8" s="35" t="n">
        <x:f>COUNTA('Données'!A2:A17)</x:f>
        <x:v>16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56" hidden="0" customWidth="1"/>
    <x:col min="4" max="4" width="38" hidden="0" customWidth="1"/>
  </x:cols>
  <x:sheetData>
    <x:row r="1">
      <x:c r="A1" s="26" t="str">
        <x:v>Exercices guidés — Excel essentiel</x:v>
      </x:c>
      <x:c r="B1" s="26"/>
      <x:c r="C1" s="26"/>
      <x:c r="D1" s="26"/>
      <x:c r="E1" s="26"/>
      <x:c r="F1" s="26"/>
    </x:row>
    <x:row r="2">
      <x:c r="A2" s="26"/>
      <x:c r="B2" s="26"/>
      <x:c r="C2" s="26"/>
      <x:c r="D2" s="26"/>
      <x:c r="E2" s="26"/>
      <x:c r="F2" s="26"/>
    </x:row>
    <x:row r="4">
      <x:c r="A4" s="28" t="str">
        <x:v>Étape</x:v>
      </x:c>
      <x:c r="B4" s="28" t="str">
        <x:v>Objectif</x:v>
      </x:c>
      <x:c r="C4" s="28" t="str">
        <x:v>Consigne</x:v>
      </x:c>
      <x:c r="D4" s="28" t="str">
        <x:v>Repère</x:v>
      </x:c>
    </x:row>
    <x:row r="5" ht="48" customHeight="1">
      <x:c r="A5" s="49" t="n">
        <x:v>1</x:v>
      </x:c>
      <x:c r="B5" s="49" t="str">
        <x:v>Structurer</x:v>
      </x:c>
      <x:c r="C5" s="49" t="str">
        <x:v>Ajoutez une nouvelle facture dans la prochaine ligne du tableau et utilisez les listes déroulantes.</x:v>
      </x:c>
      <x:c r="D5" s="49" t="str">
        <x:v>Une donnée par cellule.</x:v>
      </x:c>
    </x:row>
    <x:row r="6" ht="48" customHeight="1">
      <x:c r="A6" s="50" t="n">
        <x:v>2</x:v>
      </x:c>
      <x:c r="B6" s="50" t="str">
        <x:v>Calculer</x:v>
      </x:c>
      <x:c r="C6" s="50" t="str">
        <x:v>Vérifiez la formule de TPS, puis recopiez-la si vous ajoutez des lignes.</x:v>
      </x:c>
      <x:c r="D6" s="50" t="str">
        <x:v>=E2*'Références'!$E$2</x:v>
      </x:c>
    </x:row>
    <x:row r="7" ht="48" customHeight="1">
      <x:c r="A7" s="50" t="n">
        <x:v>3</x:v>
      </x:c>
      <x:c r="B7" s="50" t="str">
        <x:v>Décider</x:v>
      </x:c>
      <x:c r="C7" s="50" t="str">
        <x:v>Modifiez le seuil de suivi dans Références!E3 et observez les priorités.</x:v>
      </x:c>
      <x:c r="D7" s="50" t="str">
        <x:v>Les formules doivent référencer le seuil.</x:v>
      </x:c>
    </x:row>
    <x:row r="8" ht="48" customHeight="1">
      <x:c r="A8" s="50" t="n">
        <x:v>4</x:v>
      </x:c>
      <x:c r="B8" s="50" t="str">
        <x:v>Compter</x:v>
      </x:c>
      <x:c r="C8" s="50" t="str">
        <x:v>Dans le tableau de bord, confirmez le nombre de factures par statut.</x:v>
      </x:c>
      <x:c r="D8" s="50" t="str">
        <x:v>=COUNTIF(plage,critère)</x:v>
      </x:c>
    </x:row>
    <x:row r="9" ht="48" customHeight="1">
      <x:c r="A9" s="50" t="n">
        <x:v>5</x:v>
      </x:c>
      <x:c r="B9" s="50" t="str">
        <x:v>Filtrer</x:v>
      </x:c>
      <x:c r="C9" s="50" t="str">
        <x:v>Filtrez les factures Envoyées de plus de 1 000 $ et identifiez le responsable.</x:v>
      </x:c>
      <x:c r="D9" s="50" t="str">
        <x:v>Utilisez les filtres du tableau.</x:v>
      </x:c>
    </x:row>
    <x:row r="10" ht="48" customHeight="1">
      <x:c r="A10" s="51" t="n">
        <x:v>6</x:v>
      </x:c>
      <x:c r="B10" s="51" t="str">
        <x:v>Contrôler</x:v>
      </x:c>
      <x:c r="C10" s="51" t="str">
        <x:v>Repérez une valeur incohérente, puis utilisez la validation des données pour la corriger.</x:v>
      </x:c>
      <x:c r="D10" s="51" t="str">
        <x:v>Catégorie, statut et responsable sont contrôlés.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8" t="str">
        <x:v>Catégories</x:v>
      </x:c>
      <x:c r="B1" s="9" t="str">
        <x:v>Statuts</x:v>
      </x:c>
      <x:c r="C1" s="9" t="str">
        <x:v>Responsables</x:v>
      </x:c>
      <x:c r="D1" s="9" t="str">
        <x:v>Paramètre</x:v>
      </x:c>
      <x:c r="E1" s="9" t="str">
        <x:v>Valeur</x:v>
      </x:c>
    </x:row>
    <x:row r="2">
      <x:c r="A2" s="10" t="str">
        <x:v>Services</x:v>
      </x:c>
      <x:c r="B2" s="11" t="str">
        <x:v>À facturer</x:v>
      </x:c>
      <x:c r="C2" s="11" t="str">
        <x:v>Alex</x:v>
      </x:c>
      <x:c r="D2" s="11" t="str">
        <x:v>Taux TPS</x:v>
      </x:c>
      <x:c r="E2" s="12" t="n">
        <x:v>0.05</x:v>
      </x:c>
    </x:row>
    <x:row r="3">
      <x:c r="A3" s="10" t="str">
        <x:v>Formation</x:v>
      </x:c>
      <x:c r="B3" s="11" t="str">
        <x:v>Envoyée</x:v>
      </x:c>
      <x:c r="C3" s="11" t="str">
        <x:v>Sam</x:v>
      </x:c>
      <x:c r="D3" s="11" t="str">
        <x:v>Seuil de suivi</x:v>
      </x:c>
      <x:c r="E3" s="13" t="n">
        <x:v>1000</x:v>
      </x:c>
    </x:row>
    <x:row r="4">
      <x:c r="A4" s="10" t="str">
        <x:v>Boutique</x:v>
      </x:c>
      <x:c r="B4" s="11" t="str">
        <x:v>Payée</x:v>
      </x:c>
      <x:c r="C4" s="11" t="str">
        <x:v>Morgan</x:v>
      </x:c>
      <x:c r="D4" s="11" t="str"/>
      <x:c r="E4" s="11"/>
    </x:row>
    <x:row r="5">
      <x:c r="A5" s="10" t="str">
        <x:v>Soutien</x:v>
      </x:c>
      <x:c r="B5" s="11" t="str"/>
      <x:c r="C5" s="11" t="str"/>
      <x:c r="D5" s="11" t="str"/>
      <x:c r="E5" s="11"/>
    </x:row>
    <x:row r="6">
      <x:c r="A6" s="10" t="str">
        <x:v>Automatisation</x:v>
      </x:c>
      <x:c r="B6" s="11" t="str"/>
      <x:c r="C6" s="11" t="str"/>
      <x:c r="D6" s="11" t="str"/>
      <x:c r="E6" s="11"/>
    </x:row>
    <x:row r="7">
      <x:c r="A7" s="10" t="str">
        <x:v>Web</x:v>
      </x:c>
      <x:c r="B7" s="11" t="str"/>
      <x:c r="C7" s="11" t="str"/>
      <x:c r="D7" s="11" t="str"/>
      <x:c r="E7" s="11"/>
    </x:row>
    <x:row r="8">
      <x:c r="A8" s="14" t="str">
        <x:v>Autre</x:v>
      </x:c>
      <x:c r="B8" s="15" t="str"/>
      <x:c r="C8" s="15" t="str"/>
      <x:c r="D8" s="15" t="str"/>
      <x:c r="E8" s="15"/>
    </x:row>
  </x:sheetData>
  <x:pageMargins left="0.7" right="0.7" top="0.75" bottom="0.75" header="0.3" footer="0.3"/>
</x:worksheet>
</file>